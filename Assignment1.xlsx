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 App Study Meterials\module1\Excel\"/>
    </mc:Choice>
  </mc:AlternateContent>
  <xr:revisionPtr revIDLastSave="0" documentId="13_ncr:1_{E5940A77-9388-46B2-B040-8D65B992BBCA}" xr6:coauthVersionLast="47" xr6:coauthVersionMax="47" xr10:uidLastSave="{00000000-0000-0000-0000-000000000000}"/>
  <bookViews>
    <workbookView xWindow="-108" yWindow="-108" windowWidth="23256" windowHeight="12576" xr2:uid="{90DD0CC6-BFA9-4B2A-999A-E3D1B0154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35" i="1"/>
  <c r="H2" i="1"/>
  <c r="D44" i="1"/>
  <c r="D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D42" i="1"/>
  <c r="D41" i="1"/>
  <c r="D40" i="1"/>
  <c r="E40" i="1" s="1"/>
  <c r="D39" i="1"/>
</calcChain>
</file>

<file path=xl/sharedStrings.xml><?xml version="1.0" encoding="utf-8"?>
<sst xmlns="http://schemas.openxmlformats.org/spreadsheetml/2006/main" count="153" uniqueCount="104">
  <si>
    <t>Product ID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</si>
  <si>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</si>
  <si>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</si>
  <si>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</si>
  <si>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</si>
  <si>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</si>
  <si>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</si>
  <si>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</si>
  <si>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</si>
  <si>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</si>
  <si>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</si>
  <si>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</si>
  <si>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</si>
  <si>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</si>
  <si>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</si>
  <si>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</si>
  <si>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</si>
  <si>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</si>
  <si>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</si>
  <si>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</si>
  <si>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</si>
  <si>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</si>
  <si>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</si>
  <si>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</si>
  <si>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</si>
  <si>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</si>
  <si>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</si>
  <si>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</si>
  <si>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</si>
  <si>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</si>
  <si>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</si>
  <si>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</si>
  <si>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</si>
  <si>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</si>
  <si>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</si>
  <si>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</si>
  <si>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</si>
  <si>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</si>
  <si>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</si>
  <si>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</si>
  <si>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</si>
  <si>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</si>
  <si>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</si>
  <si>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</si>
  <si>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</si>
  <si>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</si>
  <si>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</si>
  <si>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</si>
  <si>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</si>
  <si>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</si>
  <si>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</si>
  <si>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</si>
  <si>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</si>
  <si>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</si>
  <si>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</si>
  <si>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</si>
  <si>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</si>
  <si>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</si>
  <si>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</si>
  <si>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</si>
  <si>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</si>
  <si>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</si>
  <si>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</si>
  <si>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</si>
  <si>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</si>
  <si>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</si>
  <si>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</si>
  <si>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</si>
  <si>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</si>
  <si>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</si>
  <si>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</si>
  <si>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</si>
  <si>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</si>
  <si>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</si>
  <si>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</si>
  <si>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</si>
  <si>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</si>
  <si>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</si>
  <si>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</si>
  <si>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</si>
  <si>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</si>
  <si>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</si>
  <si>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</si>
  <si>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</si>
  <si>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</si>
  <si>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</si>
  <si>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</si>
  <si>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</si>
  <si>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 among all products :</t>
  </si>
  <si>
    <t>Maximum price among all products:</t>
  </si>
  <si>
    <t>Total price of products in electronics using SUMIF():</t>
  </si>
  <si>
    <t>Month</t>
  </si>
  <si>
    <t>Sum of product price :</t>
  </si>
  <si>
    <t>Total number of products:</t>
  </si>
  <si>
    <t>Average Prize of Products :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</si>
  <si>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</si>
  <si>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</si>
  <si>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</si>
  <si>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</si>
  <si>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</si>
  <si>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</si>
  <si>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</si>
  <si>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</si>
  <si>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Count of product price&lt;100: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</si>
</sst>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3DD9-BBA5-43CD-A383-23014CBA76B5}">
  <dimension ref="A1:M44"/>
  <sheetViews>
    <sheetView tabSelected="1" zoomScale="72" zoomScaleNormal="72" workbookViewId="0">
      <selection activeCell="L38" sqref="L38"/>
    </sheetView>
  </sheetViews>
  <sheetFormatPr defaultRowHeight="14.4" x14ac:dyDescent="0.3"/>
  <cols>
    <col min="1" max="1" width="13.21875" customWidth="1"/>
    <col min="2" max="2" width="13.109375" customWidth="1"/>
    <col min="3" max="3" width="17.6640625" customWidth="1"/>
    <col min="4" max="4" width="16" customWidth="1"/>
    <col min="5" max="5" width="15.33203125" customWidth="1"/>
    <col min="6" max="6" width="14.21875" customWidth="1"/>
    <col min="7" max="7" width="21.33203125" customWidth="1"/>
    <col min="8" max="8" width="17.44140625" customWidth="1"/>
    <col min="9" max="9" width="13.88671875" customWidth="1"/>
    <col min="10" max="10" width="14.5546875" customWidth="1"/>
  </cols>
  <sheetData>
    <row r="1" spans="1:10" x14ac:dyDescent="0.3">
      <c r="A1" s="3" t="s">
        <v>0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5" t="s">
        <v>91</v>
      </c>
    </row>
    <row r="2" spans="1:10" x14ac:dyDescent="0.3">
      <c r="A2" s="6" t="s">
        <v>1</v>
      </c>
      <c r="B2" s="6" t="s">
        <v>2</v>
      </c>
      <c r="C2" s="6" t="s">
        <v>3</v>
      </c>
      <c r="D2" s="6">
        <v>1000</v>
      </c>
      <c r="E2" s="6">
        <v>30</v>
      </c>
      <c r="F2" s="6" t="s">
        <v>4</v>
      </c>
      <c r="G2" s="7" t="str">
        <f>IF(D2&gt;=500,"High Price","Standard Price")</f>
        <v>High Price</v>
      </c>
      <c r="H2" s="4" t="str">
        <f>LEFT(A2,2)</f>
        <v>28</v>
      </c>
      <c r="I2" s="7" t="str">
        <f>RIGHT(A2,2)</f>
        <v>US</v>
      </c>
      <c r="J2" s="7" t="str">
        <f>MID(A2,4,3)</f>
        <v>JAN</v>
      </c>
    </row>
    <row r="3" spans="1:10" x14ac:dyDescent="0.3">
      <c r="A3" s="8" t="s">
        <v>5</v>
      </c>
      <c r="B3" s="8" t="s">
        <v>6</v>
      </c>
      <c r="C3" s="8" t="s">
        <v>7</v>
      </c>
      <c r="D3" s="8">
        <v>80</v>
      </c>
      <c r="E3" s="8">
        <v>15</v>
      </c>
      <c r="F3" s="8" t="s">
        <v>8</v>
      </c>
      <c r="G3" s="7" t="str">
        <f t="shared" ref="G3:G35" si="0">IF(D3&gt;=500,"High Price","Standard Price")</f>
        <v>Standard Price</v>
      </c>
      <c r="H3" s="4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</row>
    <row r="4" spans="1:10" x14ac:dyDescent="0.3">
      <c r="A4" s="6" t="s">
        <v>9</v>
      </c>
      <c r="B4" s="6" t="s">
        <v>10</v>
      </c>
      <c r="C4" s="6" t="s">
        <v>11</v>
      </c>
      <c r="D4" s="6">
        <v>130</v>
      </c>
      <c r="E4" s="6">
        <v>40</v>
      </c>
      <c r="F4" s="6" t="s">
        <v>12</v>
      </c>
      <c r="G4" s="7" t="str">
        <f t="shared" si="0"/>
        <v>Standard Price</v>
      </c>
      <c r="H4" s="4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x14ac:dyDescent="0.3">
      <c r="A5" s="8" t="s">
        <v>13</v>
      </c>
      <c r="B5" s="8" t="s">
        <v>14</v>
      </c>
      <c r="C5" s="8" t="s">
        <v>15</v>
      </c>
      <c r="D5" s="8">
        <v>900</v>
      </c>
      <c r="E5" s="8">
        <v>25</v>
      </c>
      <c r="F5" s="8" t="s">
        <v>4</v>
      </c>
      <c r="G5" s="7" t="str">
        <f t="shared" si="0"/>
        <v>High Price</v>
      </c>
      <c r="H5" s="4" t="str">
        <f t="shared" si="1"/>
        <v>11</v>
      </c>
      <c r="I5" s="7" t="str">
        <f t="shared" si="2"/>
        <v>US</v>
      </c>
      <c r="J5" s="7" t="str">
        <f t="shared" si="3"/>
        <v>APR</v>
      </c>
    </row>
    <row r="6" spans="1:10" x14ac:dyDescent="0.3">
      <c r="A6" s="6" t="s">
        <v>16</v>
      </c>
      <c r="B6" s="6" t="s">
        <v>17</v>
      </c>
      <c r="C6" s="6" t="s">
        <v>18</v>
      </c>
      <c r="D6" s="6">
        <v>70</v>
      </c>
      <c r="E6" s="6">
        <v>20</v>
      </c>
      <c r="F6" s="6" t="s">
        <v>19</v>
      </c>
      <c r="G6" s="7" t="str">
        <f t="shared" si="0"/>
        <v>Standard Price</v>
      </c>
      <c r="H6" s="4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 x14ac:dyDescent="0.3">
      <c r="A7" s="8" t="s">
        <v>20</v>
      </c>
      <c r="B7" s="8" t="s">
        <v>21</v>
      </c>
      <c r="C7" s="8" t="s">
        <v>22</v>
      </c>
      <c r="D7" s="8">
        <v>200</v>
      </c>
      <c r="E7" s="8">
        <v>45</v>
      </c>
      <c r="F7" s="8" t="s">
        <v>4</v>
      </c>
      <c r="G7" s="7" t="str">
        <f t="shared" si="0"/>
        <v>Standard Price</v>
      </c>
      <c r="H7" s="4" t="str">
        <f t="shared" si="1"/>
        <v>07</v>
      </c>
      <c r="I7" s="7" t="str">
        <f t="shared" si="2"/>
        <v>UK</v>
      </c>
      <c r="J7" s="7" t="str">
        <f t="shared" si="3"/>
        <v>JUN</v>
      </c>
    </row>
    <row r="8" spans="1:10" x14ac:dyDescent="0.3">
      <c r="A8" s="6" t="s">
        <v>23</v>
      </c>
      <c r="B8" s="6" t="s">
        <v>24</v>
      </c>
      <c r="C8" s="6" t="s">
        <v>25</v>
      </c>
      <c r="D8" s="6">
        <v>30</v>
      </c>
      <c r="E8" s="6">
        <v>5</v>
      </c>
      <c r="F8" s="6" t="s">
        <v>8</v>
      </c>
      <c r="G8" s="7" t="str">
        <f t="shared" si="0"/>
        <v>Standard Price</v>
      </c>
      <c r="H8" s="4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x14ac:dyDescent="0.3">
      <c r="A9" s="8" t="s">
        <v>26</v>
      </c>
      <c r="B9" s="8" t="s">
        <v>27</v>
      </c>
      <c r="C9" s="8" t="s">
        <v>28</v>
      </c>
      <c r="D9" s="8">
        <v>90</v>
      </c>
      <c r="E9" s="8">
        <v>35</v>
      </c>
      <c r="F9" s="8" t="s">
        <v>12</v>
      </c>
      <c r="G9" s="7" t="str">
        <f t="shared" si="0"/>
        <v>Standard Price</v>
      </c>
      <c r="H9" s="4" t="str">
        <f t="shared" si="1"/>
        <v>23</v>
      </c>
      <c r="I9" s="7" t="str">
        <f t="shared" si="2"/>
        <v>UK</v>
      </c>
      <c r="J9" s="7" t="str">
        <f t="shared" si="3"/>
        <v>AUG</v>
      </c>
    </row>
    <row r="10" spans="1:10" x14ac:dyDescent="0.3">
      <c r="A10" s="6" t="s">
        <v>29</v>
      </c>
      <c r="B10" s="6" t="s">
        <v>30</v>
      </c>
      <c r="C10" s="6" t="s">
        <v>31</v>
      </c>
      <c r="D10" s="6">
        <v>500</v>
      </c>
      <c r="E10" s="6">
        <v>50</v>
      </c>
      <c r="F10" s="6" t="s">
        <v>4</v>
      </c>
      <c r="G10" s="7" t="str">
        <f t="shared" si="0"/>
        <v>High Price</v>
      </c>
      <c r="H10" s="4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x14ac:dyDescent="0.3">
      <c r="A11" s="8" t="s">
        <v>32</v>
      </c>
      <c r="B11" s="8" t="s">
        <v>33</v>
      </c>
      <c r="C11" s="8" t="s">
        <v>34</v>
      </c>
      <c r="D11" s="8">
        <v>130</v>
      </c>
      <c r="E11" s="8">
        <v>10</v>
      </c>
      <c r="F11" s="8" t="s">
        <v>19</v>
      </c>
      <c r="G11" s="7" t="str">
        <f t="shared" si="0"/>
        <v>Standard Price</v>
      </c>
      <c r="H11" s="4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0" x14ac:dyDescent="0.3">
      <c r="A12" s="6" t="s">
        <v>35</v>
      </c>
      <c r="B12" s="6" t="s">
        <v>2</v>
      </c>
      <c r="C12" s="6" t="s">
        <v>36</v>
      </c>
      <c r="D12" s="6">
        <v>950</v>
      </c>
      <c r="E12" s="6">
        <v>25</v>
      </c>
      <c r="F12" s="6" t="s">
        <v>4</v>
      </c>
      <c r="G12" s="7" t="str">
        <f t="shared" si="0"/>
        <v>High Price</v>
      </c>
      <c r="H12" s="4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 x14ac:dyDescent="0.3">
      <c r="A13" s="8" t="s">
        <v>37</v>
      </c>
      <c r="B13" s="8" t="s">
        <v>6</v>
      </c>
      <c r="C13" s="8" t="s">
        <v>25</v>
      </c>
      <c r="D13" s="8">
        <v>90</v>
      </c>
      <c r="E13" s="8">
        <v>40</v>
      </c>
      <c r="F13" s="8" t="s">
        <v>8</v>
      </c>
      <c r="G13" s="7" t="str">
        <f t="shared" si="0"/>
        <v>Standard Price</v>
      </c>
      <c r="H13" s="4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0" x14ac:dyDescent="0.3">
      <c r="A14" s="6" t="s">
        <v>38</v>
      </c>
      <c r="B14" s="6" t="s">
        <v>10</v>
      </c>
      <c r="C14" s="6" t="s">
        <v>39</v>
      </c>
      <c r="D14" s="6">
        <v>120</v>
      </c>
      <c r="E14" s="6">
        <v>35</v>
      </c>
      <c r="F14" s="6" t="s">
        <v>12</v>
      </c>
      <c r="G14" s="7" t="str">
        <f t="shared" si="0"/>
        <v>Standard Price</v>
      </c>
      <c r="H14" s="4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x14ac:dyDescent="0.3">
      <c r="A15" s="8" t="s">
        <v>40</v>
      </c>
      <c r="B15" s="8" t="s">
        <v>41</v>
      </c>
      <c r="C15" s="8" t="s">
        <v>42</v>
      </c>
      <c r="D15" s="8">
        <v>150</v>
      </c>
      <c r="E15" s="8">
        <v>15</v>
      </c>
      <c r="F15" s="8" t="s">
        <v>4</v>
      </c>
      <c r="G15" s="7" t="str">
        <f t="shared" si="0"/>
        <v>Standard Price</v>
      </c>
      <c r="H15" s="4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0" x14ac:dyDescent="0.3">
      <c r="A16" s="6" t="s">
        <v>43</v>
      </c>
      <c r="B16" s="6" t="s">
        <v>21</v>
      </c>
      <c r="C16" s="6" t="s">
        <v>44</v>
      </c>
      <c r="D16" s="6">
        <v>250</v>
      </c>
      <c r="E16" s="6">
        <v>20</v>
      </c>
      <c r="F16" s="6" t="s">
        <v>4</v>
      </c>
      <c r="G16" s="7" t="str">
        <f t="shared" si="0"/>
        <v>Standard Price</v>
      </c>
      <c r="H16" s="4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3" x14ac:dyDescent="0.3">
      <c r="A17" s="8" t="s">
        <v>45</v>
      </c>
      <c r="B17" s="8" t="s">
        <v>46</v>
      </c>
      <c r="C17" s="8" t="s">
        <v>47</v>
      </c>
      <c r="D17" s="8">
        <v>50</v>
      </c>
      <c r="E17" s="8">
        <v>35</v>
      </c>
      <c r="F17" s="8" t="s">
        <v>48</v>
      </c>
      <c r="G17" s="7" t="str">
        <f t="shared" si="0"/>
        <v>Standard Price</v>
      </c>
      <c r="H17" s="4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3" x14ac:dyDescent="0.3">
      <c r="A18" s="6" t="s">
        <v>49</v>
      </c>
      <c r="B18" s="6" t="s">
        <v>41</v>
      </c>
      <c r="C18" s="6" t="s">
        <v>50</v>
      </c>
      <c r="D18" s="6">
        <v>160</v>
      </c>
      <c r="E18" s="6">
        <v>15</v>
      </c>
      <c r="F18" s="6" t="s">
        <v>4</v>
      </c>
      <c r="G18" s="7" t="str">
        <f t="shared" si="0"/>
        <v>Standard Price</v>
      </c>
      <c r="H18" s="4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3" x14ac:dyDescent="0.3">
      <c r="A19" s="8" t="s">
        <v>51</v>
      </c>
      <c r="B19" s="8" t="s">
        <v>2</v>
      </c>
      <c r="C19" s="8" t="s">
        <v>52</v>
      </c>
      <c r="D19" s="8">
        <v>980</v>
      </c>
      <c r="E19" s="8">
        <v>10</v>
      </c>
      <c r="F19" s="8" t="s">
        <v>4</v>
      </c>
      <c r="G19" s="7" t="str">
        <f t="shared" si="0"/>
        <v>High Price</v>
      </c>
      <c r="H19" s="4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3" x14ac:dyDescent="0.3">
      <c r="A20" s="6" t="s">
        <v>53</v>
      </c>
      <c r="B20" s="6" t="s">
        <v>54</v>
      </c>
      <c r="C20" s="6" t="s">
        <v>55</v>
      </c>
      <c r="D20" s="6">
        <v>150</v>
      </c>
      <c r="E20" s="6">
        <v>15</v>
      </c>
      <c r="F20" s="6" t="s">
        <v>8</v>
      </c>
      <c r="G20" s="7" t="str">
        <f t="shared" si="0"/>
        <v>Standard Price</v>
      </c>
      <c r="H20" s="4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3" x14ac:dyDescent="0.3">
      <c r="A21" s="8" t="s">
        <v>56</v>
      </c>
      <c r="B21" s="8" t="s">
        <v>57</v>
      </c>
      <c r="C21" s="8" t="s">
        <v>58</v>
      </c>
      <c r="D21" s="8">
        <v>200</v>
      </c>
      <c r="E21" s="8">
        <v>10</v>
      </c>
      <c r="F21" s="8" t="s">
        <v>19</v>
      </c>
      <c r="G21" s="7" t="str">
        <f t="shared" si="0"/>
        <v>Standard Price</v>
      </c>
      <c r="H21" s="4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3" x14ac:dyDescent="0.3">
      <c r="A22" s="6" t="s">
        <v>59</v>
      </c>
      <c r="B22" s="6" t="s">
        <v>60</v>
      </c>
      <c r="C22" s="6" t="s">
        <v>61</v>
      </c>
      <c r="D22" s="6">
        <v>700</v>
      </c>
      <c r="E22" s="6">
        <v>50</v>
      </c>
      <c r="F22" s="6" t="s">
        <v>4</v>
      </c>
      <c r="G22" s="7" t="str">
        <f t="shared" si="0"/>
        <v>High Price</v>
      </c>
      <c r="H22" s="4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3" x14ac:dyDescent="0.3">
      <c r="A23" s="8" t="s">
        <v>62</v>
      </c>
      <c r="B23" s="8" t="s">
        <v>63</v>
      </c>
      <c r="C23" s="8" t="s">
        <v>64</v>
      </c>
      <c r="D23" s="8">
        <v>80</v>
      </c>
      <c r="E23" s="8">
        <v>20</v>
      </c>
      <c r="F23" s="8" t="s">
        <v>12</v>
      </c>
      <c r="G23" s="7" t="str">
        <f t="shared" si="0"/>
        <v>Standard Price</v>
      </c>
      <c r="H23" s="4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3" x14ac:dyDescent="0.3">
      <c r="A24" s="6" t="s">
        <v>65</v>
      </c>
      <c r="B24" s="6" t="s">
        <v>66</v>
      </c>
      <c r="C24" s="6" t="s">
        <v>67</v>
      </c>
      <c r="D24" s="6">
        <v>150</v>
      </c>
      <c r="E24" s="6">
        <v>30</v>
      </c>
      <c r="F24" s="6" t="s">
        <v>4</v>
      </c>
      <c r="G24" s="7" t="str">
        <f t="shared" si="0"/>
        <v>Standard Price</v>
      </c>
      <c r="H24" s="4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3" x14ac:dyDescent="0.3">
      <c r="A25" s="8" t="s">
        <v>45</v>
      </c>
      <c r="B25" s="8" t="s">
        <v>46</v>
      </c>
      <c r="C25" s="8" t="s">
        <v>47</v>
      </c>
      <c r="D25" s="8">
        <v>50</v>
      </c>
      <c r="E25" s="8">
        <v>35</v>
      </c>
      <c r="F25" s="8" t="s">
        <v>48</v>
      </c>
      <c r="G25" s="7" t="str">
        <f t="shared" si="0"/>
        <v>Standard Price</v>
      </c>
      <c r="H25" s="4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3" x14ac:dyDescent="0.3">
      <c r="A26" s="6" t="s">
        <v>68</v>
      </c>
      <c r="B26" s="6" t="s">
        <v>14</v>
      </c>
      <c r="C26" s="6" t="s">
        <v>69</v>
      </c>
      <c r="D26" s="6">
        <v>800</v>
      </c>
      <c r="E26" s="6">
        <v>45</v>
      </c>
      <c r="F26" s="6" t="s">
        <v>4</v>
      </c>
      <c r="G26" s="7" t="str">
        <f t="shared" si="0"/>
        <v>High Price</v>
      </c>
      <c r="H26" s="4" t="str">
        <f t="shared" si="1"/>
        <v>29</v>
      </c>
      <c r="I26" s="7" t="str">
        <f t="shared" si="2"/>
        <v>CA</v>
      </c>
      <c r="J26" s="7" t="str">
        <f t="shared" si="3"/>
        <v>SEP</v>
      </c>
      <c r="M26" s="1"/>
    </row>
    <row r="27" spans="1:13" x14ac:dyDescent="0.3">
      <c r="A27" s="8" t="s">
        <v>70</v>
      </c>
      <c r="B27" s="8" t="s">
        <v>54</v>
      </c>
      <c r="C27" s="8" t="s">
        <v>71</v>
      </c>
      <c r="D27" s="8">
        <v>130</v>
      </c>
      <c r="E27" s="8">
        <v>25</v>
      </c>
      <c r="F27" s="8" t="s">
        <v>8</v>
      </c>
      <c r="G27" s="7" t="str">
        <f t="shared" si="0"/>
        <v>Standard Price</v>
      </c>
      <c r="H27" s="4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3" x14ac:dyDescent="0.3">
      <c r="A28" s="6" t="s">
        <v>72</v>
      </c>
      <c r="B28" s="6" t="s">
        <v>27</v>
      </c>
      <c r="C28" s="6" t="s">
        <v>73</v>
      </c>
      <c r="D28" s="6">
        <v>400</v>
      </c>
      <c r="E28" s="6">
        <v>40</v>
      </c>
      <c r="F28" s="6" t="s">
        <v>12</v>
      </c>
      <c r="G28" s="7" t="str">
        <f t="shared" si="0"/>
        <v>Standard Price</v>
      </c>
      <c r="H28" s="4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3" x14ac:dyDescent="0.3">
      <c r="A29" s="8" t="s">
        <v>43</v>
      </c>
      <c r="B29" s="8" t="s">
        <v>21</v>
      </c>
      <c r="C29" s="8" t="s">
        <v>44</v>
      </c>
      <c r="D29" s="8">
        <v>230</v>
      </c>
      <c r="E29" s="8">
        <v>20</v>
      </c>
      <c r="F29" s="8" t="s">
        <v>4</v>
      </c>
      <c r="G29" s="7" t="str">
        <f t="shared" si="0"/>
        <v>Standard Price</v>
      </c>
      <c r="H29" s="4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3" x14ac:dyDescent="0.3">
      <c r="A30" s="6" t="s">
        <v>74</v>
      </c>
      <c r="B30" s="6" t="s">
        <v>75</v>
      </c>
      <c r="C30" s="6" t="s">
        <v>76</v>
      </c>
      <c r="D30" s="6">
        <v>60</v>
      </c>
      <c r="E30" s="6">
        <v>30</v>
      </c>
      <c r="F30" s="6" t="s">
        <v>8</v>
      </c>
      <c r="G30" s="7" t="str">
        <f t="shared" si="0"/>
        <v>Standard Price</v>
      </c>
      <c r="H30" s="4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3" x14ac:dyDescent="0.3">
      <c r="A31" s="8" t="s">
        <v>77</v>
      </c>
      <c r="B31" s="8" t="s">
        <v>78</v>
      </c>
      <c r="C31" s="8" t="s">
        <v>79</v>
      </c>
      <c r="D31" s="8">
        <v>40</v>
      </c>
      <c r="E31" s="8">
        <v>10</v>
      </c>
      <c r="F31" s="8" t="s">
        <v>12</v>
      </c>
      <c r="G31" s="7" t="str">
        <f t="shared" si="0"/>
        <v>Standard Price</v>
      </c>
      <c r="H31" s="4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3" x14ac:dyDescent="0.3">
      <c r="A32" s="6" t="s">
        <v>80</v>
      </c>
      <c r="B32" s="6" t="s">
        <v>66</v>
      </c>
      <c r="C32" s="6" t="s">
        <v>81</v>
      </c>
      <c r="D32" s="6">
        <v>130</v>
      </c>
      <c r="E32" s="6">
        <v>5</v>
      </c>
      <c r="F32" s="6" t="s">
        <v>4</v>
      </c>
      <c r="G32" s="7" t="str">
        <f t="shared" si="0"/>
        <v>Standard Price</v>
      </c>
      <c r="H32" s="4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x14ac:dyDescent="0.3">
      <c r="A33" s="8" t="s">
        <v>82</v>
      </c>
      <c r="B33" s="8" t="s">
        <v>83</v>
      </c>
      <c r="C33" s="8" t="s">
        <v>84</v>
      </c>
      <c r="D33" s="8">
        <v>50</v>
      </c>
      <c r="E33" s="8">
        <v>50</v>
      </c>
      <c r="F33" s="8" t="s">
        <v>8</v>
      </c>
      <c r="G33" s="7" t="str">
        <f t="shared" si="0"/>
        <v>Standard Price</v>
      </c>
      <c r="H33" s="4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x14ac:dyDescent="0.3">
      <c r="A34" s="6" t="s">
        <v>35</v>
      </c>
      <c r="B34" s="6" t="s">
        <v>2</v>
      </c>
      <c r="C34" s="6" t="s">
        <v>36</v>
      </c>
      <c r="D34" s="6">
        <v>950</v>
      </c>
      <c r="E34" s="6">
        <v>25</v>
      </c>
      <c r="F34" s="6" t="s">
        <v>4</v>
      </c>
      <c r="G34" s="7" t="str">
        <f t="shared" si="0"/>
        <v>High Price</v>
      </c>
      <c r="H34" s="4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x14ac:dyDescent="0.3">
      <c r="A35" s="8" t="s">
        <v>85</v>
      </c>
      <c r="B35" s="8" t="s">
        <v>86</v>
      </c>
      <c r="C35" s="8" t="s">
        <v>87</v>
      </c>
      <c r="D35" s="8">
        <v>100</v>
      </c>
      <c r="E35" s="8">
        <v>20</v>
      </c>
      <c r="F35" s="8" t="s">
        <v>48</v>
      </c>
      <c r="G35" s="7" t="str">
        <f t="shared" si="0"/>
        <v>Standard Price</v>
      </c>
      <c r="H35" s="4" t="str">
        <f t="shared" si="1"/>
        <v>09</v>
      </c>
      <c r="I35" s="7" t="str">
        <f>RIGHT(A35,2)</f>
        <v>FR</v>
      </c>
      <c r="J35" s="7" t="str">
        <f t="shared" si="3"/>
        <v>JUL</v>
      </c>
    </row>
    <row r="38" spans="1:10" x14ac:dyDescent="0.3">
      <c r="A38" s="2" t="s">
        <v>92</v>
      </c>
      <c r="D38">
        <f>SUM(D2:D35)</f>
        <v>10100</v>
      </c>
    </row>
    <row r="39" spans="1:10" x14ac:dyDescent="0.3">
      <c r="A39" s="2" t="s">
        <v>93</v>
      </c>
      <c r="D39">
        <f>COUNTA(B2:B35)</f>
        <v>34</v>
      </c>
    </row>
    <row r="40" spans="1:10" x14ac:dyDescent="0.3">
      <c r="A40" s="2" t="s">
        <v>94</v>
      </c>
      <c r="D40">
        <f>AVERAGE(D2:D35)</f>
        <v>297.05882352941177</v>
      </c>
      <c r="E40">
        <f>ROUND(D40,1)</f>
        <v>297.10000000000002</v>
      </c>
    </row>
    <row r="41" spans="1:10" x14ac:dyDescent="0.3">
      <c r="A41" s="2" t="s">
        <v>88</v>
      </c>
      <c r="D41">
        <f>MIN(D2:D35)</f>
        <v>30</v>
      </c>
    </row>
    <row r="42" spans="1:10" x14ac:dyDescent="0.3">
      <c r="A42" s="2" t="s">
        <v>89</v>
      </c>
      <c r="D42">
        <f>MAX(D2:D35)</f>
        <v>1000</v>
      </c>
    </row>
    <row r="43" spans="1:10" x14ac:dyDescent="0.3">
      <c r="A43" s="2" t="s">
        <v>90</v>
      </c>
      <c r="D43">
        <f>SUMIF(F2:F35,"Electronics",D2:D35)</f>
        <v>8050</v>
      </c>
    </row>
    <row r="44" spans="1:10" x14ac:dyDescent="0.3">
      <c r="A44" s="2" t="s">
        <v>103</v>
      </c>
      <c r="D44">
        <f>COUNTIF(D2:D35,"&lt;100")</f>
        <v>11</v>
      </c>
    </row>
  </sheetData>
  <conditionalFormatting sqref="G2:G35">
    <cfRule type="containsText" dxfId="1" priority="1" operator="containsText" text="High Price">
      <formula>NOT(ISERROR(SEARCH("High Price",G2)))</formula>
    </cfRule>
    <cfRule type="containsText" dxfId="0" priority="2" operator="containsText" text="High Price">
      <formula>NOT(ISERROR(SEARCH("High Price",G2)))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Alfiya Ismail</cp:lastModifiedBy>
  <dcterms:created xsi:type="dcterms:W3CDTF">2026-09-27T03:23:41Z</dcterms:created>
  <dcterms:modified xsi:type="dcterms:W3CDTF">2026-09-28T12:53:39Z</dcterms:modified>
</cp:coreProperties>
</file>